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sus"/>
  <workbookPr/>
  <bookViews>
    <workbookView activeTab="0" xWindow="240" yWindow="60" windowWidth="22260" windowHeight="12648" tabRatio="500"/>
  </bookViews>
  <sheets>
    <sheet name="Sheet1" sheetId="1" r:id="rId4"/>
  </sheets>
  <calcPr/>
  <extLst>
    <ext uri="smNativeData">
      <pm:revision xmlns:pm="smNativeData" day="1718818692" val="1068" rev="124" revOS="4" revMin="124" revMax="0"/>
      <pm:docPrefs xmlns:pm="smNativeData" id="1718818692" fixedDigits="0" showNotice="1" showFrameBounds="1" autoChart="1" recalcOnPrint="1" recalcOnCopy="1" finalRounding="1" compatTextArt="1" tab="567" useDefinedPrintRange="1" printArea="currentSheet"/>
      <pm:compatibility xmlns:pm="smNativeData" id="1718818692" overlapCells="1"/>
      <pm:defCurrency xmlns:pm="smNativeData" id="1718818692"/>
    </ext>
  </extLst>
</workbook>
</file>

<file path=xl/sharedStrings.xml><?xml version="1.0" encoding="utf-8"?>
<sst xmlns="http://schemas.openxmlformats.org/spreadsheetml/2006/main" count="78" uniqueCount="38">
  <si>
    <t>Airport name</t>
  </si>
  <si>
    <t xml:space="preserve">Location </t>
  </si>
  <si>
    <t>CO2 emission(in tonnes)</t>
  </si>
  <si>
    <t>year</t>
  </si>
  <si>
    <t>Energy Consumption(in GJ)</t>
  </si>
  <si>
    <t>Passengers(in thousands)</t>
  </si>
  <si>
    <t>Comments</t>
  </si>
  <si>
    <t>References</t>
  </si>
  <si>
    <t>YUL</t>
  </si>
  <si>
    <t>Montreal, Canada</t>
  </si>
  <si>
    <t>Data for other year and details can be found in the references</t>
  </si>
  <si>
    <t>webpage</t>
  </si>
  <si>
    <t>Hartsfield-Jackson Atlanta International Airport</t>
  </si>
  <si>
    <t>Atlanta, USA</t>
  </si>
  <si>
    <t>Report</t>
  </si>
  <si>
    <t>not found</t>
  </si>
  <si>
    <t>env_report</t>
  </si>
  <si>
    <t>Heathrow airport</t>
  </si>
  <si>
    <t>Hounslow, UK</t>
  </si>
  <si>
    <t>Beijing Capital International Airport</t>
  </si>
  <si>
    <t>Beijing, China</t>
  </si>
  <si>
    <t>Munich International Airport</t>
  </si>
  <si>
    <t xml:space="preserve">Munich, Germany </t>
  </si>
  <si>
    <t>Athens International Airport (AIA)</t>
  </si>
  <si>
    <t>Athens, Greece</t>
  </si>
  <si>
    <t>Frankfurt Airport</t>
  </si>
  <si>
    <t>Frankfurt, Germany</t>
  </si>
  <si>
    <t>Changi Airport</t>
  </si>
  <si>
    <t>Changi, Singapore</t>
  </si>
  <si>
    <t>San Jose International Airport (SJC)</t>
  </si>
  <si>
    <t>San Jose, California</t>
  </si>
  <si>
    <t>Webpage</t>
  </si>
  <si>
    <t>Ottawa International Airport (YOW)</t>
  </si>
  <si>
    <t>Ottawa, Canada</t>
  </si>
  <si>
    <t>Dubai International Airport (DXB)</t>
  </si>
  <si>
    <t>Garhoud, Dubai</t>
  </si>
  <si>
    <t>Dallas Fort Worth International Airport (DFW)</t>
  </si>
  <si>
    <t>Dallas–Fort Worth, Texas, United States</t>
  </si>
</sst>
</file>

<file path=xl/styles.xml><?xml version="1.0" encoding="utf-8"?>
<styleSheet xmlns="http://schemas.openxmlformats.org/spreadsheetml/2006/main">
  <numFmts count="11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3" formatCode="#,##0"/>
    <numFmt numFmtId="4" formatCode="#,##0.00"/>
    <numFmt numFmtId="164" formatCode="#,##0.0"/>
  </numFmts>
  <fonts count="17">
    <font>
      <name val="Calibri"/>
      <family val="2"/>
      <color rgb="FF000000"/>
      <sz val="11"/>
      <extLst>
        <ext uri="smNativeData">
          <pm:charSpec xmlns:pm="smNativeData" id="171881869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1881869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18818692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444444"/>
      <sz val="11"/>
      <extLst>
        <ext uri="smNativeData">
          <pm:charSpec xmlns:pm="smNativeData" id="1718818692" fgClr="444444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sustainability.admtl.com/indicators/environnement/emissions_de_ges/multi_bilan_ges_scope_3_beigne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www.atl.com/wp-content/uploads/2022/05/ATL-ESGP-Report_Spreads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www.atl.com/wp-content/uploads/2023/07/ATLASAP2035_ESGP_0727_FINAL-1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www.heathrow.com/content/dam/heathrow/web/common/documents/company/investor/reports-and-presentations/annual-accounts/airport-holdings/2023_FY_HAHL_ARA_Final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newsfile.futunn.com/public/NN-PersistNoticeAttachment/7781/20240429/11189595-0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www.munichre.com/content/dam/munichre/mrwebsiteslaunches/2023-annual-report/MunichRe-Group-Annual-Report-2023-en.pdf/_jcr_content/renditions/original./MunichRe-Group-Annual-Report-2023-en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www.aia.gr/userfiles/LPFiles/reports/aia-asr_2023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annual-report.fraport.com/annual-report/2022/en/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asianaviation.com/wp-content/uploads/CAG-Sustainability-Report-FY2122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www.flysanjose.com/financial-reports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yow.ca/sites/yow.ca/files/yow/files/publications/2023_annual_report-oiaa.pdf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18818692" fgClr="0563C1" ulstyle="single" kern="1">
            <pm:latin face="Calibri" sz="220" lang="default"/>
            <pm:cs face="Times New Roman" sz="220" lang="default"/>
            <pm:ea face="SimSun" sz="220" lang="default"/>
            <hyperlink type="6" url="https://c.ekstatic.net/ecl/documents/annual-report/2023-2024.pdf" location="" text=""/>
          </pm:charSpec>
        </ext>
      </extLst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18818692" type="1" fgLvl="100" fgClr="00FFFFFF" bgLvl="100" bgClr="00000000"/>
          </ext>
        </extLst>
      </patternFill>
    </fill>
  </fills>
  <borders count="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881869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18818692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1881869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18818692">
            <pm:line position="top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1881869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1881869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1881869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8818692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3" fillId="0" borderId="0" applyNumberFormat="0" applyFont="1" applyFill="0" applyBorder="0" applyAlignment="0" applyProtection="0"/>
  </cellStyleXfs>
  <cellXfs count="31">
    <xf numFmtId="0" fontId="0" fillId="0" borderId="0" xfId="0"/>
    <xf numFmtId="0" fontId="3" fillId="0" borderId="0" xfId="1"/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0" fillId="0" borderId="3" xfId="0" applyBorder="1"/>
    <xf numFmtId="3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right"/>
    </xf>
    <xf numFmtId="4" fontId="0" fillId="0" borderId="3" xfId="0" applyNumberFormat="1" applyBorder="1"/>
    <xf numFmtId="4" fontId="0" fillId="0" borderId="1" xfId="0" applyNumberFormat="1" applyBorder="1"/>
    <xf numFmtId="3" fontId="0" fillId="0" borderId="3" xfId="0" applyNumberFormat="1" applyBorder="1" applyAlignment="1">
      <alignment horizontal="right"/>
    </xf>
    <xf numFmtId="3" fontId="4" fillId="0" borderId="1" xfId="0" applyNumberFormat="1" applyFont="1" applyBorder="1"/>
    <xf numFmtId="3" fontId="0" fillId="0" borderId="1" xfId="0" applyNumberFormat="1" applyBorder="1" applyAlignment="1">
      <alignment horizontal="right"/>
    </xf>
    <xf numFmtId="0" fontId="5" fillId="0" borderId="6" xfId="1" applyFont="1" applyBorder="1"/>
    <xf numFmtId="0" fontId="6" fillId="0" borderId="6" xfId="1" applyFont="1" applyBorder="1"/>
    <xf numFmtId="0" fontId="7" fillId="0" borderId="5" xfId="1" applyFont="1" applyBorder="1"/>
    <xf numFmtId="0" fontId="8" fillId="0" borderId="6" xfId="1" applyFont="1" applyBorder="1"/>
    <xf numFmtId="0" fontId="9" fillId="0" borderId="6" xfId="1" applyFont="1" applyBorder="1"/>
    <xf numFmtId="0" fontId="10" fillId="0" borderId="6" xfId="1" applyFont="1" applyBorder="1"/>
    <xf numFmtId="0" fontId="11" fillId="0" borderId="6" xfId="1" applyFont="1" applyBorder="1"/>
    <xf numFmtId="0" fontId="12" fillId="0" borderId="6" xfId="1" applyFont="1" applyBorder="1"/>
    <xf numFmtId="0" fontId="13" fillId="0" borderId="6" xfId="1" applyFont="1" applyBorder="1"/>
    <xf numFmtId="0" fontId="14" fillId="0" borderId="6" xfId="1" applyFont="1" applyBorder="1"/>
    <xf numFmtId="164" fontId="0" fillId="0" borderId="3" xfId="0" applyNumberFormat="1" applyBorder="1"/>
    <xf numFmtId="3" fontId="0" fillId="0" borderId="3" xfId="0" applyNumberFormat="1" applyBorder="1" applyAlignment="1">
      <alignment horizontal="right" vertical="top"/>
    </xf>
    <xf numFmtId="0" fontId="15" fillId="0" borderId="6" xfId="1" applyFont="1" applyBorder="1"/>
    <xf numFmtId="0" fontId="16" fillId="0" borderId="6" xfId="1" applyFont="1" applyBorder="1"/>
    <xf numFmtId="3" fontId="0" fillId="0" borderId="0" xfId="0" applyNumberFormat="1"/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18818692" count="1">
        <pm:charStyle name="Normal" fontId="0" Id="1"/>
      </pm:charStyles>
      <pm:colors xmlns:pm="smNativeData" id="1718818692" count="2">
        <pm:color name="Color 24" rgb="0563C1"/>
        <pm:color name="Color 25" rgb="444444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sustainability.admtl.com/indicators/environnement/emissions_de_ges/multi_bilan_ges_scope_3_beigne" TargetMode="External"/><Relationship Id="rId2" Type="http://schemas.openxmlformats.org/officeDocument/2006/relationships/hyperlink" Target="https://www.atl.com/wp-content/uploads/2022/05/ATL-ESGP-Report_Spreads.pdf" TargetMode="External"/><Relationship Id="rId3" Type="http://schemas.openxmlformats.org/officeDocument/2006/relationships/hyperlink" Target="https://www.atl.com/wp-content/uploads/2023/07/ATLASAP2035_ESGP_0727_FINAL-1.pdf" TargetMode="External"/><Relationship Id="rId4" Type="http://schemas.openxmlformats.org/officeDocument/2006/relationships/hyperlink" Target="https://www.heathrow.com/content/dam/heathrow/web/common/documents/company/investor/reports-and-presentations/annual-accounts/airport-holdings/2023_FY_HAHL_ARA_Final.pdf" TargetMode="External"/><Relationship Id="rId5" Type="http://schemas.openxmlformats.org/officeDocument/2006/relationships/hyperlink" Target="https://newsfile.futunn.com/public/NN-PersistNoticeAttachment/7781/20240429/11189595-0.PDF" TargetMode="External"/><Relationship Id="rId6" Type="http://schemas.openxmlformats.org/officeDocument/2006/relationships/hyperlink" Target="https://www.munichre.com/content/dam/munichre/mrwebsiteslaunches/2023-annual-report/MunichRe-Group-Annual-Report-2023-en.pdf/_jcr_content/renditions/original./MunichRe-Group-Annual-Report-2023-en.pdf" TargetMode="External"/><Relationship Id="rId7" Type="http://schemas.openxmlformats.org/officeDocument/2006/relationships/hyperlink" Target="https://www.aia.gr/userfiles/LPFiles/reports/aia-asr_2023.pdf" TargetMode="External"/><Relationship Id="rId8" Type="http://schemas.openxmlformats.org/officeDocument/2006/relationships/hyperlink" Target="https://annual-report.fraport.com/annual-report/2022/en/" TargetMode="External"/><Relationship Id="rId9" Type="http://schemas.openxmlformats.org/officeDocument/2006/relationships/hyperlink" Target="https://asianaviation.com/wp-content/uploads/CAG-Sustainability-Report-FY2122.pdf" TargetMode="External"/><Relationship Id="rId10" Type="http://schemas.openxmlformats.org/officeDocument/2006/relationships/hyperlink" Target="https://www.flysanjose.com/financial-reports" TargetMode="External"/><Relationship Id="rId11" Type="http://schemas.openxmlformats.org/officeDocument/2006/relationships/hyperlink" Target="https://yow.ca/sites/yow.ca/files/yow/files/publications/2023_annual_report-oiaa.pdf" TargetMode="External"/><Relationship Id="rId12" Type="http://schemas.openxmlformats.org/officeDocument/2006/relationships/hyperlink" Target="https://c.ekstatic.net/ecl/documents/annual-report/2023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35"/>
  <sheetViews>
    <sheetView tabSelected="1" view="normal" topLeftCell="B1" zoomScale="80" workbookViewId="0">
      <selection activeCell="F25" sqref="F25"/>
    </sheetView>
  </sheetViews>
  <sheetFormatPr defaultRowHeight="15.40"/>
  <cols>
    <col min="1" max="1" width="42.553571" customWidth="1" style="0"/>
    <col min="2" max="2" width="37.285714" customWidth="1" style="0"/>
    <col min="3" max="3" width="20.776786" customWidth="1" style="0"/>
    <col min="4" max="4" width="12.000000" customWidth="1" style="0"/>
    <col min="5" max="5" width="24.107143" customWidth="1" style="0"/>
    <col min="6" max="6" width="22.660714" customWidth="1" style="0"/>
    <col min="7" max="7" width="53.750000" customWidth="1" style="0"/>
    <col min="8" max="8" width="10.214286" customWidth="1" style="0"/>
    <col min="9" max="16384" width="8.883929" customWidth="1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5" t="s">
        <v>8</v>
      </c>
      <c r="B2" s="6" t="s">
        <v>9</v>
      </c>
      <c r="C2" s="6">
        <f>5520+139+307</f>
        <v>5966</v>
      </c>
      <c r="D2" s="6" t="n">
        <v>2023</v>
      </c>
      <c r="E2" s="7" t="n">
        <v>553095</v>
      </c>
      <c r="F2" s="7" t="n">
        <v>21174</v>
      </c>
      <c r="G2" s="6" t="s">
        <v>10</v>
      </c>
      <c r="H2" s="16" t="s">
        <v>11</v>
      </c>
    </row>
    <row r="3" spans="1:8">
      <c r="A3" s="8"/>
      <c r="B3" s="3"/>
      <c r="C3" s="3">
        <f>6100+217+155</f>
        <v>6472</v>
      </c>
      <c r="D3" s="3" t="n">
        <v>2022</v>
      </c>
      <c r="E3" s="4" t="n">
        <v>564270</v>
      </c>
      <c r="F3" s="4" t="n">
        <v>15981</v>
      </c>
      <c r="G3" s="3"/>
      <c r="H3" s="9"/>
    </row>
    <row r="4" spans="1:8">
      <c r="A4" s="5" t="s">
        <v>12</v>
      </c>
      <c r="B4" s="6" t="s">
        <v>13</v>
      </c>
      <c r="C4" s="6">
        <f>24735+21179</f>
        <v>45914</v>
      </c>
      <c r="D4" s="6" t="n">
        <v>2021</v>
      </c>
      <c r="E4" s="7" t="n">
        <v>1131526</v>
      </c>
      <c r="F4" s="7" t="n">
        <v>45372</v>
      </c>
      <c r="G4" s="6" t="s">
        <v>10</v>
      </c>
      <c r="H4" s="17" t="s">
        <v>14</v>
      </c>
    </row>
    <row r="5" spans="1:8">
      <c r="A5" s="8"/>
      <c r="B5" s="3"/>
      <c r="C5" s="3">
        <f>26558+231234</f>
        <v>257792</v>
      </c>
      <c r="D5" s="3" t="n">
        <v>2020</v>
      </c>
      <c r="E5" s="10" t="s">
        <v>15</v>
      </c>
      <c r="F5" s="4" t="n">
        <v>36655</v>
      </c>
      <c r="G5" s="3"/>
      <c r="H5" s="18" t="s">
        <v>16</v>
      </c>
    </row>
    <row r="6" spans="1:8">
      <c r="A6" s="5" t="s">
        <v>17</v>
      </c>
      <c r="B6" s="6" t="s">
        <v>18</v>
      </c>
      <c r="C6" s="6" t="n">
        <v>18774300</v>
      </c>
      <c r="D6" s="6" t="n">
        <v>2023</v>
      </c>
      <c r="E6" s="11" t="n">
        <v>635878</v>
      </c>
      <c r="F6" s="7" t="n">
        <v>79151</v>
      </c>
      <c r="G6" s="6" t="s">
        <v>10</v>
      </c>
      <c r="H6" s="19" t="s">
        <v>14</v>
      </c>
    </row>
    <row r="7" spans="1:8">
      <c r="A7" s="8"/>
      <c r="B7" s="3"/>
      <c r="C7" s="3" t="n">
        <v>14938191</v>
      </c>
      <c r="D7" s="3" t="n">
        <v>2022</v>
      </c>
      <c r="E7" s="12" t="n">
        <v>966596</v>
      </c>
      <c r="F7" s="4" t="n">
        <v>61611</v>
      </c>
      <c r="G7" s="3"/>
      <c r="H7" s="9"/>
    </row>
    <row r="8" spans="1:8">
      <c r="A8" s="5" t="s">
        <v>19</v>
      </c>
      <c r="B8" s="6" t="s">
        <v>20</v>
      </c>
      <c r="C8" s="6" t="n">
        <v>733.100000000000023</v>
      </c>
      <c r="D8" s="6" t="n">
        <v>2023</v>
      </c>
      <c r="E8" s="6"/>
      <c r="F8" s="7" t="n">
        <v>53612</v>
      </c>
      <c r="G8" s="6" t="s">
        <v>10</v>
      </c>
      <c r="H8" s="20" t="s">
        <v>14</v>
      </c>
    </row>
    <row r="9" spans="1:8">
      <c r="A9" s="8"/>
      <c r="B9" s="3"/>
      <c r="C9" s="3" t="n">
        <v>776</v>
      </c>
      <c r="D9" s="3" t="n">
        <v>2022</v>
      </c>
      <c r="E9" s="3"/>
      <c r="F9" s="4" t="n">
        <v>55938</v>
      </c>
      <c r="G9" s="3"/>
      <c r="H9" s="9"/>
    </row>
    <row r="10" spans="1:8">
      <c r="A10" s="5" t="s">
        <v>21</v>
      </c>
      <c r="B10" s="6" t="s">
        <v>22</v>
      </c>
      <c r="C10" s="6" t="n">
        <v>3086777</v>
      </c>
      <c r="D10" s="6" t="n">
        <v>2023</v>
      </c>
      <c r="E10" s="7" t="n">
        <v>903297</v>
      </c>
      <c r="F10" s="13" t="n">
        <v>37000</v>
      </c>
      <c r="G10" s="6" t="s">
        <v>10</v>
      </c>
      <c r="H10" s="21" t="s">
        <v>14</v>
      </c>
    </row>
    <row r="11" spans="1:8">
      <c r="A11" s="8"/>
      <c r="B11" s="3"/>
      <c r="C11" s="3" t="n">
        <v>3192798</v>
      </c>
      <c r="D11" s="3" t="n">
        <v>2022</v>
      </c>
      <c r="E11" s="14" t="n">
        <v>1129312</v>
      </c>
      <c r="F11" s="15" t="n">
        <v>31600</v>
      </c>
      <c r="G11" s="3"/>
      <c r="H11" s="9"/>
    </row>
    <row r="12" spans="1:8">
      <c r="A12" s="5" t="s">
        <v>23</v>
      </c>
      <c r="B12" s="6" t="s">
        <v>24</v>
      </c>
      <c r="C12" s="7" t="n">
        <v>27000</v>
      </c>
      <c r="D12" s="6" t="n">
        <v>2021</v>
      </c>
      <c r="E12" s="7" t="n">
        <v>412000</v>
      </c>
      <c r="F12" s="7" t="n">
        <v>12350</v>
      </c>
      <c r="G12" s="6" t="s">
        <v>10</v>
      </c>
      <c r="H12" s="22" t="s">
        <v>14</v>
      </c>
    </row>
    <row r="13" spans="1:8">
      <c r="A13" s="8"/>
      <c r="B13" s="3"/>
      <c r="C13" s="4" t="n">
        <v>27641</v>
      </c>
      <c r="D13" s="3" t="n">
        <v>2020</v>
      </c>
      <c r="E13" s="4" t="n">
        <v>395000</v>
      </c>
      <c r="F13" s="4" t="n">
        <v>8080</v>
      </c>
      <c r="G13" s="3"/>
      <c r="H13" s="9"/>
    </row>
    <row r="14" spans="1:8">
      <c r="A14" s="5" t="s">
        <v>25</v>
      </c>
      <c r="B14" s="6" t="s">
        <v>26</v>
      </c>
      <c r="C14" s="7" t="n">
        <v>155449</v>
      </c>
      <c r="D14" s="6" t="n">
        <v>2022</v>
      </c>
      <c r="E14" s="10" t="s">
        <v>15</v>
      </c>
      <c r="F14" s="7" t="n">
        <v>48918</v>
      </c>
      <c r="G14" s="6" t="s">
        <v>10</v>
      </c>
      <c r="H14" s="23" t="s">
        <v>14</v>
      </c>
    </row>
    <row r="15" spans="1:8">
      <c r="A15" s="8"/>
      <c r="B15" s="3"/>
      <c r="C15" s="4" t="n">
        <v>166208</v>
      </c>
      <c r="D15" s="3" t="n">
        <v>2021</v>
      </c>
      <c r="E15" s="10" t="s">
        <v>15</v>
      </c>
      <c r="F15" s="4" t="n">
        <v>24800</v>
      </c>
      <c r="G15" s="3"/>
      <c r="H15" s="18"/>
    </row>
    <row r="16" spans="1:8">
      <c r="A16" s="5" t="s">
        <v>27</v>
      </c>
      <c r="B16" s="6" t="s">
        <v>28</v>
      </c>
      <c r="C16" s="4" t="n">
        <v>582414</v>
      </c>
      <c r="D16" s="3" t="n">
        <v>2021</v>
      </c>
      <c r="E16" s="12" t="n">
        <v>936651.599999999977</v>
      </c>
      <c r="F16" s="4" t="n">
        <v>32200</v>
      </c>
      <c r="G16" s="6" t="s">
        <v>10</v>
      </c>
      <c r="H16" s="24" t="s">
        <v>14</v>
      </c>
    </row>
    <row r="17" spans="1:8">
      <c r="A17" s="8"/>
      <c r="B17" s="3"/>
      <c r="C17" s="4" t="n">
        <v>535747</v>
      </c>
      <c r="D17" s="3" t="n">
        <v>2020</v>
      </c>
      <c r="E17" s="12" t="n">
        <v>864000</v>
      </c>
      <c r="F17" s="4" t="n">
        <v>11800</v>
      </c>
      <c r="G17" s="3"/>
      <c r="H17" s="9"/>
    </row>
    <row r="18" spans="1:8">
      <c r="A18" s="6" t="s">
        <v>29</v>
      </c>
      <c r="B18" s="6" t="s">
        <v>30</v>
      </c>
      <c r="C18" s="7" t="n">
        <v>29483</v>
      </c>
      <c r="D18" s="6" t="n">
        <v>2023</v>
      </c>
      <c r="E18" s="7" t="n">
        <v>340000</v>
      </c>
      <c r="F18" s="7" t="n">
        <v>13750</v>
      </c>
      <c r="G18" s="6" t="s">
        <v>10</v>
      </c>
      <c r="H18" s="25" t="s">
        <v>31</v>
      </c>
    </row>
    <row r="19" spans="1:8">
      <c r="A19" s="8"/>
      <c r="B19" s="3"/>
      <c r="C19" s="4" t="n">
        <v>27834</v>
      </c>
      <c r="D19" s="3" t="n">
        <v>2022</v>
      </c>
      <c r="E19" s="4" t="n">
        <v>320000</v>
      </c>
      <c r="F19" s="4" t="n">
        <v>12890</v>
      </c>
      <c r="G19" s="3"/>
      <c r="H19" s="9"/>
    </row>
    <row r="20" spans="1:8">
      <c r="A20" s="5" t="s">
        <v>32</v>
      </c>
      <c r="B20" s="6" t="s">
        <v>33</v>
      </c>
      <c r="C20" s="26" t="n">
        <v>5209.5</v>
      </c>
      <c r="D20" s="6" t="n">
        <v>2023</v>
      </c>
      <c r="E20" s="27" t="s">
        <v>15</v>
      </c>
      <c r="F20" s="13" t="n">
        <v>4095</v>
      </c>
      <c r="G20" s="6" t="s">
        <v>10</v>
      </c>
      <c r="H20" s="28" t="s">
        <v>14</v>
      </c>
    </row>
    <row r="21" spans="1:8">
      <c r="A21" s="8"/>
      <c r="B21" s="3"/>
      <c r="C21" s="4" t="n">
        <v>4371</v>
      </c>
      <c r="D21" s="3" t="n">
        <v>2022</v>
      </c>
      <c r="E21" s="4" t="n">
        <v>85086</v>
      </c>
      <c r="F21" s="15" t="n">
        <v>2992</v>
      </c>
      <c r="G21" s="3"/>
      <c r="H21" s="9"/>
    </row>
    <row r="22" spans="1:8">
      <c r="A22" t="s">
        <v>34</v>
      </c>
      <c r="B22" t="s">
        <v>35</v>
      </c>
      <c r="C22" s="30" t="n">
        <v>16600000</v>
      </c>
      <c r="D22" t="n">
        <v>2019</v>
      </c>
      <c r="E22" s="27" t="s">
        <v>15</v>
      </c>
      <c r="F22" t="n">
        <v>86994</v>
      </c>
      <c r="G22" s="6" t="s">
        <v>10</v>
      </c>
      <c r="H22" s="29" t="s">
        <v>14</v>
      </c>
    </row>
    <row r="23" spans="1:8">
      <c r="A23" s="8"/>
      <c r="B23" s="3"/>
      <c r="C23" s="4"/>
      <c r="D23" s="3"/>
      <c r="E23" s="4"/>
      <c r="F23" s="15"/>
      <c r="G23" s="3"/>
      <c r="H23" s="9"/>
    </row>
    <row r="24" spans="1:8">
      <c r="A24" t="s">
        <v>36</v>
      </c>
      <c r="B24" t="s">
        <v>37</v>
      </c>
      <c r="C24" s="30" t="n">
        <v>16600000</v>
      </c>
      <c r="D24" t="n">
        <v>2019</v>
      </c>
      <c r="E24" s="27" t="s">
        <v>15</v>
      </c>
      <c r="F24" s="30" t="n">
        <v>81755</v>
      </c>
      <c r="G24" s="6" t="s">
        <v>10</v>
      </c>
      <c r="H24" s="29" t="s">
        <v>14</v>
      </c>
    </row>
    <row r="25" spans="3:8">
      <c r="C25" s="4" t="n">
        <v>4371</v>
      </c>
      <c r="D25" s="3" t="n">
        <v>2022</v>
      </c>
      <c r="E25" s="4" t="n">
        <v>85086</v>
      </c>
      <c r="F25" s="15" t="n">
        <v>2992</v>
      </c>
      <c r="G25" s="3"/>
      <c r="H25" s="9"/>
    </row>
    <row r="26" spans="3:8">
      <c r="C26" s="30" t="n">
        <v>16600000</v>
      </c>
      <c r="D26" t="n">
        <v>2019</v>
      </c>
      <c r="E26" s="27" t="s">
        <v>15</v>
      </c>
      <c r="F26" t="n">
        <v>86994</v>
      </c>
      <c r="G26" s="6" t="s">
        <v>10</v>
      </c>
      <c r="H26" s="29" t="s">
        <v>14</v>
      </c>
    </row>
    <row r="27" spans="3:8">
      <c r="C27" s="4" t="n">
        <v>4371</v>
      </c>
      <c r="D27" s="3" t="n">
        <v>2022</v>
      </c>
      <c r="E27" s="4" t="n">
        <v>85086</v>
      </c>
      <c r="F27" s="15" t="n">
        <v>2992</v>
      </c>
      <c r="G27" s="3"/>
      <c r="H27" s="9"/>
    </row>
    <row r="28" spans="3:8">
      <c r="C28" s="30" t="n">
        <v>16600000</v>
      </c>
      <c r="D28" t="n">
        <v>2019</v>
      </c>
      <c r="E28" s="27" t="s">
        <v>15</v>
      </c>
      <c r="F28" t="n">
        <v>86994</v>
      </c>
      <c r="G28" s="6" t="s">
        <v>10</v>
      </c>
      <c r="H28" s="29" t="s">
        <v>14</v>
      </c>
    </row>
    <row r="29" spans="3:8">
      <c r="C29" s="4" t="n">
        <v>4371</v>
      </c>
      <c r="D29" s="3" t="n">
        <v>2022</v>
      </c>
      <c r="E29" s="4" t="n">
        <v>85086</v>
      </c>
      <c r="F29" s="15" t="n">
        <v>2992</v>
      </c>
      <c r="G29" s="3"/>
      <c r="H29" s="9"/>
    </row>
    <row r="30" spans="3:8">
      <c r="C30" s="30" t="n">
        <v>16600000</v>
      </c>
      <c r="D30" t="n">
        <v>2019</v>
      </c>
      <c r="E30" s="27" t="s">
        <v>15</v>
      </c>
      <c r="F30" t="n">
        <v>86994</v>
      </c>
      <c r="G30" s="6" t="s">
        <v>10</v>
      </c>
      <c r="H30" s="29" t="s">
        <v>14</v>
      </c>
    </row>
    <row r="31" spans="3:8">
      <c r="C31" s="4" t="n">
        <v>4371</v>
      </c>
      <c r="D31" s="3" t="n">
        <v>2022</v>
      </c>
      <c r="E31" s="4" t="n">
        <v>85086</v>
      </c>
      <c r="F31" s="15" t="n">
        <v>2992</v>
      </c>
      <c r="G31" s="3"/>
      <c r="H31" s="9"/>
    </row>
    <row r="32" spans="3:8">
      <c r="C32" s="30" t="n">
        <v>16600000</v>
      </c>
      <c r="D32" t="n">
        <v>2019</v>
      </c>
      <c r="E32" s="27" t="s">
        <v>15</v>
      </c>
      <c r="F32" t="n">
        <v>86994</v>
      </c>
      <c r="G32" s="6" t="s">
        <v>10</v>
      </c>
      <c r="H32" s="29" t="s">
        <v>14</v>
      </c>
    </row>
    <row r="33" spans="3:8">
      <c r="C33" s="4" t="n">
        <v>4371</v>
      </c>
      <c r="D33" s="3" t="n">
        <v>2022</v>
      </c>
      <c r="E33" s="4" t="n">
        <v>85086</v>
      </c>
      <c r="F33" s="15" t="n">
        <v>2992</v>
      </c>
      <c r="G33" s="3"/>
      <c r="H33" s="9"/>
    </row>
    <row r="34" spans="3:8">
      <c r="C34" s="30" t="n">
        <v>16600000</v>
      </c>
      <c r="D34" t="n">
        <v>2019</v>
      </c>
      <c r="E34" s="27" t="s">
        <v>15</v>
      </c>
      <c r="F34" t="n">
        <v>86994</v>
      </c>
      <c r="G34" s="6" t="s">
        <v>10</v>
      </c>
      <c r="H34" s="29" t="s">
        <v>14</v>
      </c>
    </row>
    <row r="35" spans="3:8">
      <c r="C35" s="4" t="n">
        <v>4371</v>
      </c>
      <c r="D35" s="3" t="n">
        <v>2022</v>
      </c>
      <c r="E35" s="4" t="n">
        <v>85086</v>
      </c>
      <c r="F35" s="15" t="n">
        <v>2992</v>
      </c>
      <c r="G35" s="3"/>
      <c r="H35" s="9"/>
    </row>
  </sheetData>
  <mergeCells count="17"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</mergeCells>
  <hyperlinks>
    <hyperlink ref="H2" r:id="rId1"/>
    <hyperlink ref="H4" r:id="rId2"/>
    <hyperlink ref="H5" r:id="rId3"/>
    <hyperlink ref="H6" r:id="rId4"/>
    <hyperlink ref="H8" r:id="rId5"/>
    <hyperlink ref="H10" r:id="rId6"/>
    <hyperlink ref="H12" r:id="rId7"/>
    <hyperlink ref="H14" r:id="rId8"/>
    <hyperlink ref="H15" r:id="rId3"/>
    <hyperlink ref="H16" r:id="rId9"/>
    <hyperlink ref="H18" r:id="rId10"/>
    <hyperlink ref="H20" r:id="rId11"/>
    <hyperlink ref="H22" r:id="rId12"/>
    <hyperlink ref="H24" r:id="rId12"/>
    <hyperlink ref="H26" r:id="rId12"/>
    <hyperlink ref="H28" r:id="rId12"/>
    <hyperlink ref="H30" r:id="rId12"/>
    <hyperlink ref="H32" r:id="rId12"/>
    <hyperlink ref="H34" r:id="rId12"/>
  </hyperlinks>
  <printOptions>
    <extLst>
      <ext uri="smNativeData">
        <pm:pageFlags xmlns:pm="smNativeData" id="171881869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18818692" l="56" r="56" t="56" b="56" borderId="0" fillId="0" vertical="0"/>
        <pm:footer xmlns:pm="smNativeData" id="1718818692" l="56" r="56" t="56" b="56" borderId="0" fillId="0" vertical="2"/>
        <pm:paperBin xmlns:pm="smNativeData" id="1718818692" Id="0" type="0" value="0"/>
        <pm:paperBin xmlns:pm="smNativeData" id="1718818692" Id="1" type="0" value="0"/>
      </ext>
    </extLst>
  </headerFooter>
  <extLst>
    <ext uri="smNativeData">
      <pm:sheetPrefs xmlns:pm="smNativeData" day="171881869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Asus</cp:lastModifiedBy>
  <cp:revision>0</cp:revision>
  <dcterms:created xsi:type="dcterms:W3CDTF">2015-06-05T18:17:20Z</dcterms:created>
  <dcterms:modified xsi:type="dcterms:W3CDTF">2024-06-19T17:38:12Z</dcterms:modified>
</cp:coreProperties>
</file>